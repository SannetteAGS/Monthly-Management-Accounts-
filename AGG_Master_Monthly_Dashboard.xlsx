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nette\Downloads\"/>
    </mc:Choice>
  </mc:AlternateContent>
  <xr:revisionPtr revIDLastSave="0" documentId="13_ncr:1_{2E24AFFB-A1D2-4D43-B3B2-EEAC8188992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Da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42" i="1"/>
  <c r="C42" i="1"/>
  <c r="C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I32" i="1"/>
  <c r="D32" i="1"/>
  <c r="C32" i="1"/>
  <c r="B32" i="1"/>
  <c r="I31" i="1"/>
  <c r="H31" i="1"/>
  <c r="D31" i="1"/>
  <c r="C31" i="1"/>
  <c r="B31" i="1"/>
  <c r="I30" i="1"/>
  <c r="H30" i="1"/>
  <c r="I29" i="1"/>
  <c r="H29" i="1"/>
  <c r="D27" i="1"/>
  <c r="C27" i="1"/>
  <c r="D26" i="1"/>
  <c r="C26" i="1"/>
  <c r="H25" i="1"/>
  <c r="D25" i="1"/>
  <c r="C25" i="1"/>
  <c r="H24" i="1"/>
  <c r="D24" i="1"/>
  <c r="C24" i="1"/>
  <c r="H23" i="1"/>
  <c r="D23" i="1"/>
  <c r="C23" i="1"/>
  <c r="H22" i="1"/>
  <c r="D22" i="1"/>
  <c r="C22" i="1"/>
  <c r="H21" i="1"/>
  <c r="H18" i="1"/>
  <c r="C18" i="1"/>
  <c r="H17" i="1"/>
  <c r="C17" i="1"/>
  <c r="H16" i="1"/>
  <c r="C16" i="1"/>
  <c r="H15" i="1"/>
  <c r="C15" i="1"/>
  <c r="H11" i="1"/>
  <c r="C11" i="1"/>
  <c r="H10" i="1"/>
  <c r="C10" i="1"/>
  <c r="H9" i="1"/>
  <c r="C9" i="1"/>
  <c r="H8" i="1"/>
  <c r="C8" i="1"/>
  <c r="H7" i="1"/>
  <c r="C7" i="1"/>
  <c r="H6" i="1"/>
  <c r="C6" i="1"/>
  <c r="C5" i="1"/>
</calcChain>
</file>

<file path=xl/sharedStrings.xml><?xml version="1.0" encoding="utf-8"?>
<sst xmlns="http://schemas.openxmlformats.org/spreadsheetml/2006/main" count="215" uniqueCount="180">
  <si>
    <t>AFRICAN GAMESKIN GROUP (PTY) LTD — MONTHLY MANAGEMENT ACCOUNT</t>
  </si>
  <si>
    <t>July 2026</t>
  </si>
  <si>
    <t>KEY SALES FIGURES</t>
  </si>
  <si>
    <t>DEBTORS AGING</t>
  </si>
  <si>
    <t>Turnover (Total)</t>
  </si>
  <si>
    <t>Age Band</t>
  </si>
  <si>
    <t>Amount (R)</t>
  </si>
  <si>
    <t>Turnover - Exports</t>
  </si>
  <si>
    <t>Current</t>
  </si>
  <si>
    <t>Turnover Excl. VAT (Invoiced)</t>
  </si>
  <si>
    <t>30 Days</t>
  </si>
  <si>
    <t>Leather Sold</t>
  </si>
  <si>
    <t>60 Days</t>
  </si>
  <si>
    <t>Average Selling Price (per m²)</t>
  </si>
  <si>
    <t>90 Days</t>
  </si>
  <si>
    <t>Leather Purchased</t>
  </si>
  <si>
    <t>120 Days</t>
  </si>
  <si>
    <t>Average Purchase Price (per m²)</t>
  </si>
  <si>
    <t>Total Debtors</t>
  </si>
  <si>
    <t>SALES BREAKDOWN BY BRANCH (m²)</t>
  </si>
  <si>
    <t>CREDITORS AGING</t>
  </si>
  <si>
    <t>Branch</t>
  </si>
  <si>
    <t>Durban</t>
  </si>
  <si>
    <t>JHB</t>
  </si>
  <si>
    <t>Cape Town</t>
  </si>
  <si>
    <t>Total m² sold</t>
  </si>
  <si>
    <t>Total Creditors</t>
  </si>
  <si>
    <t>INCOME STATEMENT</t>
  </si>
  <si>
    <t>BALANCE SHEET SNAPSHOT</t>
  </si>
  <si>
    <t>Month</t>
  </si>
  <si>
    <t>YTD</t>
  </si>
  <si>
    <t>Stock</t>
  </si>
  <si>
    <t>Turnover</t>
  </si>
  <si>
    <t>Debtors</t>
  </si>
  <si>
    <t>Cost of Sales</t>
  </si>
  <si>
    <t>Bank</t>
  </si>
  <si>
    <t>Gross Profit</t>
  </si>
  <si>
    <t>Creditors</t>
  </si>
  <si>
    <t>Other Income</t>
  </si>
  <si>
    <t>Total Current Assets</t>
  </si>
  <si>
    <t>Expenses</t>
  </si>
  <si>
    <t>Net Profit</t>
  </si>
  <si>
    <t>STOCK BY BRANCH</t>
  </si>
  <si>
    <t>m²</t>
  </si>
  <si>
    <t>Value (R)</t>
  </si>
  <si>
    <t>TOP 10 CUSTOMERS</t>
  </si>
  <si>
    <t>Customer</t>
  </si>
  <si>
    <t>Total Stock</t>
  </si>
  <si>
    <t>Top 10 as % of Total Sales</t>
  </si>
  <si>
    <t>Credit Notes</t>
  </si>
  <si>
    <t>month</t>
  </si>
  <si>
    <t>turnover</t>
  </si>
  <si>
    <t>turnover_exports</t>
  </si>
  <si>
    <t>turnover_excl_vat</t>
  </si>
  <si>
    <t>leather_sold_m2</t>
  </si>
  <si>
    <t>leather_sold_value</t>
  </si>
  <si>
    <t>avg_selling_price</t>
  </si>
  <si>
    <t>leather_purchased_m2</t>
  </si>
  <si>
    <t>leather_purchased_value</t>
  </si>
  <si>
    <t>avg_purchase_price</t>
  </si>
  <si>
    <t>durban_m2</t>
  </si>
  <si>
    <t>jhb_m2</t>
  </si>
  <si>
    <t>cpt_m2</t>
  </si>
  <si>
    <t>total_m2_sold</t>
  </si>
  <si>
    <t>is_turnover</t>
  </si>
  <si>
    <t>is_cos</t>
  </si>
  <si>
    <t>is_gp</t>
  </si>
  <si>
    <t>is_gp_pct</t>
  </si>
  <si>
    <t>is_other_income</t>
  </si>
  <si>
    <t>is_expenses</t>
  </si>
  <si>
    <t>is_expenses_pct</t>
  </si>
  <si>
    <t>is_net_profit</t>
  </si>
  <si>
    <t>is_net_profit_pct</t>
  </si>
  <si>
    <t>ytd_turnover</t>
  </si>
  <si>
    <t>ytd_cos</t>
  </si>
  <si>
    <t>ytd_gp</t>
  </si>
  <si>
    <t>ytd_gp_pct</t>
  </si>
  <si>
    <t>ytd_other_income</t>
  </si>
  <si>
    <t>ytd_expenses</t>
  </si>
  <si>
    <t>ytd_expenses_pct</t>
  </si>
  <si>
    <t>ytd_net_profit</t>
  </si>
  <si>
    <t>ytd_net_profit_pct</t>
  </si>
  <si>
    <t>debtors_current</t>
  </si>
  <si>
    <t>debtors_30</t>
  </si>
  <si>
    <t>debtors_60</t>
  </si>
  <si>
    <t>debtors_90</t>
  </si>
  <si>
    <t>debtors_120</t>
  </si>
  <si>
    <t>debtors_total</t>
  </si>
  <si>
    <t>creditors_current</t>
  </si>
  <si>
    <t>creditors_30</t>
  </si>
  <si>
    <t>creditors_60</t>
  </si>
  <si>
    <t>creditors_total</t>
  </si>
  <si>
    <t>stock</t>
  </si>
  <si>
    <t>debtors_snapshot</t>
  </si>
  <si>
    <t>bank</t>
  </si>
  <si>
    <t>creditors_snapshot</t>
  </si>
  <si>
    <t>total_current_assets</t>
  </si>
  <si>
    <t>top10_pct_of_sales</t>
  </si>
  <si>
    <t>credit_notes_label</t>
  </si>
  <si>
    <t>credit_notes_pct</t>
  </si>
  <si>
    <t>credit_notes_value</t>
  </si>
  <si>
    <t>total_stock_value</t>
  </si>
  <si>
    <t>stock_Cape Town_m2</t>
  </si>
  <si>
    <t>stock_Cape Town_value</t>
  </si>
  <si>
    <t>stock_JHB_m2</t>
  </si>
  <si>
    <t>stock_JHB_value</t>
  </si>
  <si>
    <t>stock_Durban_m2</t>
  </si>
  <si>
    <t>stock_Durban_value</t>
  </si>
  <si>
    <t>cust1_name</t>
  </si>
  <si>
    <t>cust1_m2</t>
  </si>
  <si>
    <t>cust1_value</t>
  </si>
  <si>
    <t>cust2_name</t>
  </si>
  <si>
    <t>cust2_m2</t>
  </si>
  <si>
    <t>cust2_value</t>
  </si>
  <si>
    <t>cust3_name</t>
  </si>
  <si>
    <t>cust3_m2</t>
  </si>
  <si>
    <t>cust3_value</t>
  </si>
  <si>
    <t>cust4_name</t>
  </si>
  <si>
    <t>cust4_m2</t>
  </si>
  <si>
    <t>cust4_value</t>
  </si>
  <si>
    <t>cust5_name</t>
  </si>
  <si>
    <t>cust5_m2</t>
  </si>
  <si>
    <t>cust5_value</t>
  </si>
  <si>
    <t>cust6_name</t>
  </si>
  <si>
    <t>cust6_m2</t>
  </si>
  <si>
    <t>cust6_value</t>
  </si>
  <si>
    <t>cust7_name</t>
  </si>
  <si>
    <t>cust7_m2</t>
  </si>
  <si>
    <t>cust7_value</t>
  </si>
  <si>
    <t>cust8_name</t>
  </si>
  <si>
    <t>cust8_m2</t>
  </si>
  <si>
    <t>cust8_value</t>
  </si>
  <si>
    <t>cust9_name</t>
  </si>
  <si>
    <t>cust9_m2</t>
  </si>
  <si>
    <t>cust9_value</t>
  </si>
  <si>
    <t>cust10_name</t>
  </si>
  <si>
    <t>cust10_m2</t>
  </si>
  <si>
    <t>cust10_value</t>
  </si>
  <si>
    <t>March 2026</t>
  </si>
  <si>
    <t>CREDIT NOTES: 119x CREDIT NOTES)</t>
  </si>
  <si>
    <t>8% of sales</t>
  </si>
  <si>
    <t>INS011 - INSPIRE RENTALS PTY LTD</t>
  </si>
  <si>
    <t>BOO002 - BOOT &amp; RALLY (PTY) (LTD)</t>
  </si>
  <si>
    <t>JUL003 - JULIANA DESIGNS (PTY) LTD</t>
  </si>
  <si>
    <t>AFI001 - AFIKA PROMOTIONS</t>
  </si>
  <si>
    <t>LEA04 - LEATHER DIRECT (Pty) Ltd</t>
  </si>
  <si>
    <t>ALW002 - ALWAYS AROUND (PTY) LTD T/A BEESDAM</t>
  </si>
  <si>
    <t>KZN001 - KZN FASTNERS (PTY) LTD</t>
  </si>
  <si>
    <t>LEA030 - PARIS MANUFACTURING (PTY) LTD</t>
  </si>
  <si>
    <t>GAT003 - GATES 2 AFRICA - MIKE</t>
  </si>
  <si>
    <t>LMA001 - LEATHER MASTER</t>
  </si>
  <si>
    <t>April 2026</t>
  </si>
  <si>
    <t>CREDIT NOTES: 108 x CREDIT NOTES)</t>
  </si>
  <si>
    <t>6% of sales</t>
  </si>
  <si>
    <t>VER001 - VERMONT LEATHER</t>
  </si>
  <si>
    <t>ROW002 - ROWDY INTERNATIONAL (Pty) Ltd</t>
  </si>
  <si>
    <t>FAT004 - FF CLOTHING GROUP CC</t>
  </si>
  <si>
    <t>INY011 - INYATHI LOUNGE (PTY) LTD</t>
  </si>
  <si>
    <t>BUR001 - WH Burgundy Collective (Pty) Ltd</t>
  </si>
  <si>
    <t>CAP003 - CAPE KNIFE CUTTING CC</t>
  </si>
  <si>
    <t>May 2026</t>
  </si>
  <si>
    <t>CREDIT NOTES: 93 x CREDIT NOTES</t>
  </si>
  <si>
    <t>5% of sales</t>
  </si>
  <si>
    <t>JAL001 - JALAD AFRICA PTY LTD</t>
  </si>
  <si>
    <t>June 2026</t>
  </si>
  <si>
    <t>CREDIT NOTES: 115 x CREDIT NOTES</t>
  </si>
  <si>
    <t>INSPIRE RENTALS PTY LTD</t>
  </si>
  <si>
    <t>GH LEATHERS LTD</t>
  </si>
  <si>
    <t>JULIANA DESIGNS (PTY) LTD</t>
  </si>
  <si>
    <t>COUCH POTATO</t>
  </si>
  <si>
    <t>INYATHI LOUNGE (PTY) LTD</t>
  </si>
  <si>
    <t>ALWAYS AROUND (PTY) LTD T/A BEESDAM</t>
  </si>
  <si>
    <t>LEATHER DIRECT (Pty) Ltd</t>
  </si>
  <si>
    <t>ROWDY INTERNATIONAL (Pty) Ltd</t>
  </si>
  <si>
    <t>LEATHER DIRECT  (Pty) Ltd</t>
  </si>
  <si>
    <t>FF CLOTHING GROUP CC</t>
  </si>
  <si>
    <t>CREDIT NOTES:  112 x CREDIT NOTES</t>
  </si>
  <si>
    <t>PAN001 - PANGA PANGA FURNITURE</t>
  </si>
  <si>
    <t>MWI001 - MWIBA HOLDINGS LIMITED</t>
  </si>
  <si>
    <t>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</si>
</sst>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 &quot;#,##0.00;&quot;(R &quot;#,##0.00\);\-"/>
    <numFmt numFmtId="165" formatCode="#,##0.00&quot; m²&quot;"/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b/>
      <sz val="10"/>
      <name val="Calibri"/>
      <family val="2"/>
    </font>
    <font>
      <b/>
      <sz val="11"/>
      <color rgb="FF1F4E3D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3D"/>
        <bgColor rgb="FF2E6B52"/>
      </patternFill>
    </fill>
    <fill>
      <patternFill patternType="solid">
        <fgColor rgb="FFFFF2CC"/>
        <bgColor rgb="FFE8F1EC"/>
      </patternFill>
    </fill>
    <fill>
      <patternFill patternType="solid">
        <fgColor rgb="FF2E6B52"/>
        <bgColor rgb="FF1F4E3D"/>
      </patternFill>
    </fill>
    <fill>
      <patternFill patternType="solid">
        <fgColor rgb="FFDCEAE3"/>
        <bgColor rgb="FFD6EADB"/>
      </patternFill>
    </fill>
    <fill>
      <patternFill patternType="solid">
        <fgColor rgb="FFE8F1EC"/>
        <bgColor rgb="FFDCEAE3"/>
      </patternFill>
    </fill>
    <fill>
      <patternFill patternType="solid">
        <fgColor rgb="FFE5D5F2"/>
        <bgColor rgb="FFD2E3F3"/>
      </patternFill>
    </fill>
    <fill>
      <patternFill patternType="solid">
        <fgColor rgb="FFD2E3F3"/>
        <bgColor rgb="FFDCEAE3"/>
      </patternFill>
    </fill>
    <fill>
      <patternFill patternType="solid">
        <fgColor rgb="FFD6EADB"/>
        <bgColor rgb="FFDCEAE3"/>
      </patternFill>
    </fill>
  </fills>
  <borders count="3">
    <border>
      <left/>
      <right/>
      <top/>
      <bottom/>
      <diagonal/>
    </border>
    <border>
      <left style="medium">
        <color rgb="FF1F4E3D"/>
      </left>
      <right/>
      <top style="medium">
        <color rgb="FF1F4E3D"/>
      </top>
      <bottom style="medium">
        <color rgb="FF1F4E3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165" fontId="5" fillId="0" borderId="2" xfId="0" applyNumberFormat="1" applyFont="1" applyBorder="1"/>
    <xf numFmtId="164" fontId="5" fillId="0" borderId="2" xfId="0" applyNumberFormat="1" applyFont="1" applyBorder="1"/>
    <xf numFmtId="164" fontId="2" fillId="0" borderId="2" xfId="0" applyNumberFormat="1" applyFont="1" applyBorder="1"/>
    <xf numFmtId="0" fontId="4" fillId="4" borderId="2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2" fillId="0" borderId="2" xfId="0" applyFont="1" applyBorder="1"/>
    <xf numFmtId="0" fontId="2" fillId="5" borderId="2" xfId="0" applyFont="1" applyFill="1" applyBorder="1"/>
    <xf numFmtId="0" fontId="5" fillId="0" borderId="2" xfId="0" applyFont="1" applyBorder="1"/>
    <xf numFmtId="164" fontId="5" fillId="0" borderId="2" xfId="0" applyNumberFormat="1" applyFont="1" applyBorder="1"/>
    <xf numFmtId="164" fontId="0" fillId="0" borderId="2" xfId="0" applyNumberFormat="1" applyBorder="1"/>
    <xf numFmtId="0" fontId="2" fillId="6" borderId="2" xfId="0" applyFont="1" applyFill="1" applyBorder="1"/>
    <xf numFmtId="164" fontId="2" fillId="6" borderId="2" xfId="0" applyNumberFormat="1" applyFont="1" applyFill="1" applyBorder="1"/>
    <xf numFmtId="0" fontId="5" fillId="7" borderId="2" xfId="0" applyFont="1" applyFill="1" applyBorder="1"/>
    <xf numFmtId="165" fontId="0" fillId="7" borderId="2" xfId="0" applyNumberFormat="1" applyFill="1" applyBorder="1"/>
    <xf numFmtId="0" fontId="5" fillId="8" borderId="2" xfId="0" applyFont="1" applyFill="1" applyBorder="1"/>
    <xf numFmtId="165" fontId="0" fillId="8" borderId="2" xfId="0" applyNumberFormat="1" applyFill="1" applyBorder="1"/>
    <xf numFmtId="0" fontId="5" fillId="9" borderId="2" xfId="0" applyFont="1" applyFill="1" applyBorder="1"/>
    <xf numFmtId="165" fontId="0" fillId="9" borderId="2" xfId="0" applyNumberFormat="1" applyFill="1" applyBorder="1"/>
    <xf numFmtId="165" fontId="2" fillId="6" borderId="2" xfId="0" applyNumberFormat="1" applyFont="1" applyFill="1" applyBorder="1"/>
    <xf numFmtId="164" fontId="0" fillId="9" borderId="2" xfId="0" applyNumberFormat="1" applyFill="1" applyBorder="1"/>
    <xf numFmtId="164" fontId="0" fillId="8" borderId="2" xfId="0" applyNumberFormat="1" applyFill="1" applyBorder="1"/>
    <xf numFmtId="165" fontId="0" fillId="0" borderId="2" xfId="0" applyNumberFormat="1" applyBorder="1"/>
    <xf numFmtId="164" fontId="0" fillId="7" borderId="2" xfId="0" applyNumberFormat="1" applyFill="1" applyBorder="1"/>
    <xf numFmtId="0" fontId="0" fillId="6" borderId="2" xfId="0" applyFill="1" applyBorder="1"/>
    <xf numFmtId="166" fontId="2" fillId="0" borderId="2" xfId="0" applyNumberFormat="1" applyFont="1" applyBorder="1"/>
    <xf numFmtId="0" fontId="0" fillId="0" borderId="2" xfId="0" applyBorder="1"/>
    <xf numFmtId="0" fontId="2" fillId="5" borderId="2" xfId="0" applyFont="1" applyFill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52"/>
      <rgbColor rgb="FFBFBFBF"/>
      <rgbColor rgb="FF808080"/>
      <rgbColor rgb="FF9999FF"/>
      <rgbColor rgb="FF993366"/>
      <rgbColor rgb="FFFFF2CC"/>
      <rgbColor rgb="FFE8F1EC"/>
      <rgbColor rgb="FF660066"/>
      <rgbColor rgb="FFFF8080"/>
      <rgbColor rgb="FF0066CC"/>
      <rgbColor rgb="FFE5D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E3"/>
      <rgbColor rgb="FFD6EADB"/>
      <rgbColor rgb="FFFFFF99"/>
      <rgbColor rgb="FFD2E3F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42"/>
  <sheetViews>
    <sheetView showGridLines="0" tabSelected="1" zoomScaleNormal="100" workbookViewId="0">
      <selection activeCell="Q35" sqref="Q35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6" customWidth="1"/>
    <col min="5" max="6" width="3" customWidth="1"/>
    <col min="7" max="7" width="20" customWidth="1"/>
    <col min="8" max="8" width="16" customWidth="1"/>
    <col min="9" max="9" width="16" hidden="1" customWidth="1"/>
    <col min="10" max="12" width="0" hidden="1" customWidth="1"/>
  </cols>
  <sheetData>
    <row r="1" spans="2:13" ht="25.5" customHeight="1" x14ac:dyDescent="0.35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2:13" ht="19.5" customHeight="1" x14ac:dyDescent="0.35">
      <c r="B2" s="8" t="s">
        <v>179</v>
      </c>
      <c r="C2" s="6" t="s">
        <v>1</v>
      </c>
      <c r="D2" s="6"/>
    </row>
    <row r="4" spans="2:13" x14ac:dyDescent="0.35">
      <c r="B4" s="5" t="s">
        <v>2</v>
      </c>
      <c r="C4" s="5"/>
      <c r="D4" s="5"/>
      <c r="G4" s="4" t="s">
        <v>3</v>
      </c>
      <c r="H4" s="4"/>
    </row>
    <row r="5" spans="2:13" x14ac:dyDescent="0.35">
      <c r="B5" s="9" t="s">
        <v>4</v>
      </c>
      <c r="C5" s="3">
        <f>INDEX(Data!$B$2:$B$6,MATCH($C$2,Data!$A$2:$A$6,0))</f>
        <v>9999139.1600000001</v>
      </c>
      <c r="D5" s="3"/>
      <c r="G5" s="10" t="s">
        <v>5</v>
      </c>
      <c r="H5" s="10" t="s">
        <v>6</v>
      </c>
    </row>
    <row r="6" spans="2:13" x14ac:dyDescent="0.35">
      <c r="B6" s="11" t="s">
        <v>7</v>
      </c>
      <c r="C6" s="2">
        <f>INDEX(Data!$C$2:$C$6,MATCH($C$2,Data!$A$2:$A$6,0))</f>
        <v>609648.77</v>
      </c>
      <c r="D6" s="2"/>
      <c r="G6" s="11" t="s">
        <v>8</v>
      </c>
      <c r="H6" s="13">
        <f>INDEX(Data!$AG$2:$AG$6,MATCH($C$2,Data!$A$2:$A$6,0))</f>
        <v>6314630.25</v>
      </c>
    </row>
    <row r="7" spans="2:13" x14ac:dyDescent="0.35">
      <c r="B7" s="11" t="s">
        <v>9</v>
      </c>
      <c r="C7" s="2">
        <f>INDEX(Data!$D$2:$D$6,MATCH($C$2,Data!$A$2:$A$6,0))</f>
        <v>10608787.93</v>
      </c>
      <c r="D7" s="2"/>
      <c r="G7" s="11" t="s">
        <v>10</v>
      </c>
      <c r="H7" s="13">
        <f>INDEX(Data!$AH$2:$AH$6,MATCH($C$2,Data!$A$2:$A$6,0))</f>
        <v>2175977.65</v>
      </c>
    </row>
    <row r="8" spans="2:13" x14ac:dyDescent="0.35">
      <c r="B8" s="11" t="s">
        <v>11</v>
      </c>
      <c r="C8" s="1">
        <f>INDEX(Data!$E$2:$E$6,MATCH($C$2,Data!$A$2:$A$6,0))</f>
        <v>31220.53</v>
      </c>
      <c r="D8" s="1"/>
      <c r="G8" s="11" t="s">
        <v>12</v>
      </c>
      <c r="H8" s="13">
        <f>INDEX(Data!$AI$2:$AI$6,MATCH($C$2,Data!$A$2:$A$6,0))</f>
        <v>554894.18000000005</v>
      </c>
    </row>
    <row r="9" spans="2:13" x14ac:dyDescent="0.35">
      <c r="B9" s="11" t="s">
        <v>13</v>
      </c>
      <c r="C9" s="2">
        <f>INDEX(Data!$G$2:$G$6,MATCH($C$2,Data!$A$2:$A$6,0))</f>
        <v>324.80529478519401</v>
      </c>
      <c r="D9" s="2"/>
      <c r="G9" s="11" t="s">
        <v>14</v>
      </c>
      <c r="H9" s="13">
        <f>INDEX(Data!$AJ$2:$AJ$6,MATCH($C$2,Data!$A$2:$A$6,0))</f>
        <v>126006.73</v>
      </c>
    </row>
    <row r="10" spans="2:13" x14ac:dyDescent="0.35">
      <c r="B10" s="11" t="s">
        <v>15</v>
      </c>
      <c r="C10" s="1">
        <f>INDEX(Data!$H$2:$H$6,MATCH($C$2,Data!$A$2:$A$6,0))</f>
        <v>32522.46</v>
      </c>
      <c r="D10" s="1"/>
      <c r="G10" s="11" t="s">
        <v>16</v>
      </c>
      <c r="H10" s="13">
        <f>INDEX(Data!$AK$2:$AK$6,MATCH($C$2,Data!$A$2:$A$6,0))</f>
        <v>352553.37</v>
      </c>
    </row>
    <row r="11" spans="2:13" x14ac:dyDescent="0.35">
      <c r="B11" s="11" t="s">
        <v>17</v>
      </c>
      <c r="C11" s="2">
        <f>INDEX(Data!$J$2:$J$6,MATCH($C$2,Data!$A$2:$A$6,0))</f>
        <v>252.78922320144301</v>
      </c>
      <c r="D11" s="2"/>
      <c r="G11" s="14" t="s">
        <v>18</v>
      </c>
      <c r="H11" s="15">
        <f>INDEX(Data!$AL$2:$AL$6,MATCH($C$2,Data!$A$2:$A$6,0))</f>
        <v>9524062.1799999997</v>
      </c>
    </row>
    <row r="13" spans="2:13" x14ac:dyDescent="0.35">
      <c r="B13" s="5" t="s">
        <v>19</v>
      </c>
      <c r="C13" s="5"/>
      <c r="D13" s="5"/>
      <c r="G13" s="5" t="s">
        <v>20</v>
      </c>
      <c r="H13" s="5"/>
    </row>
    <row r="14" spans="2:13" x14ac:dyDescent="0.35">
      <c r="B14" s="10" t="s">
        <v>21</v>
      </c>
      <c r="C14" s="30" t="str">
        <f>+C2</f>
        <v>July 2026</v>
      </c>
      <c r="G14" s="10" t="s">
        <v>5</v>
      </c>
      <c r="H14" s="10" t="s">
        <v>6</v>
      </c>
    </row>
    <row r="15" spans="2:13" x14ac:dyDescent="0.35">
      <c r="B15" s="16" t="s">
        <v>22</v>
      </c>
      <c r="C15" s="17">
        <f>INDEX(Data!$K$2:$K$6,MATCH($C$2,Data!$A$2:$A$6,0))</f>
        <v>2265.5500000000002</v>
      </c>
      <c r="G15" s="11" t="s">
        <v>8</v>
      </c>
      <c r="H15" s="13">
        <f>INDEX(Data!$AM$2:$AM$6,MATCH($C$2,Data!$A$2:$A$6,0))</f>
        <v>2805575.34</v>
      </c>
    </row>
    <row r="16" spans="2:13" x14ac:dyDescent="0.35">
      <c r="B16" s="18" t="s">
        <v>23</v>
      </c>
      <c r="C16" s="19">
        <f>INDEX(Data!$L$2:$L$6,MATCH($C$2,Data!$A$2:$A$6,0))</f>
        <v>11718.75</v>
      </c>
      <c r="G16" s="11" t="s">
        <v>10</v>
      </c>
      <c r="H16" s="13">
        <f>INDEX(Data!$AN$2:$AN$6,MATCH($C$2,Data!$A$2:$A$6,0))</f>
        <v>0</v>
      </c>
    </row>
    <row r="17" spans="2:9" x14ac:dyDescent="0.35">
      <c r="B17" s="20" t="s">
        <v>24</v>
      </c>
      <c r="C17" s="21">
        <f>INDEX(Data!$M$2:$M$6,MATCH($C$2,Data!$A$2:$A$6,0))</f>
        <v>17236.23</v>
      </c>
      <c r="G17" s="11" t="s">
        <v>12</v>
      </c>
      <c r="H17" s="13">
        <f>INDEX(Data!$AO$2:$AO$6,MATCH($C$2,Data!$A$2:$A$6,0))</f>
        <v>0</v>
      </c>
    </row>
    <row r="18" spans="2:9" x14ac:dyDescent="0.35">
      <c r="B18" s="14" t="s">
        <v>25</v>
      </c>
      <c r="C18" s="22">
        <f>INDEX(Data!$N$2:$N$6,MATCH($C$2,Data!$A$2:$A$6,0))</f>
        <v>31220.53</v>
      </c>
      <c r="G18" s="14" t="s">
        <v>26</v>
      </c>
      <c r="H18" s="15">
        <f>INDEX(Data!$AP$2:$AP$6,MATCH($C$2,Data!$A$2:$A$6,0))</f>
        <v>2805575.34</v>
      </c>
    </row>
    <row r="20" spans="2:9" x14ac:dyDescent="0.35">
      <c r="B20" s="5" t="s">
        <v>27</v>
      </c>
      <c r="C20" s="5"/>
      <c r="D20" s="5"/>
      <c r="G20" s="4" t="s">
        <v>28</v>
      </c>
      <c r="H20" s="4"/>
    </row>
    <row r="21" spans="2:9" x14ac:dyDescent="0.35">
      <c r="B21" s="10"/>
      <c r="C21" s="10" t="s">
        <v>29</v>
      </c>
      <c r="D21" s="10" t="s">
        <v>30</v>
      </c>
      <c r="G21" s="11" t="s">
        <v>31</v>
      </c>
      <c r="H21" s="12">
        <f>INDEX(Data!$AQ$2:$AQ$6,MATCH($C$2,Data!$A$2:$A$6,0))</f>
        <v>27842441</v>
      </c>
    </row>
    <row r="22" spans="2:9" x14ac:dyDescent="0.35">
      <c r="B22" s="11" t="s">
        <v>32</v>
      </c>
      <c r="C22" s="12">
        <f>INDEX(Data!$O$2:$O$6,MATCH($C$2,Data!$A$2:$A$6,0))</f>
        <v>10608787.93</v>
      </c>
      <c r="D22" s="12">
        <f>INDEX(Data!$X$2:$X$6,MATCH($C$2,Data!$A$2:$A$6,0))</f>
        <v>46357782.640000001</v>
      </c>
      <c r="G22" s="11" t="s">
        <v>33</v>
      </c>
      <c r="H22" s="12">
        <f>INDEX(Data!$AR$2:$AR$6,MATCH($C$2,Data!$A$2:$A$6,0))</f>
        <v>9524062.1799999997</v>
      </c>
    </row>
    <row r="23" spans="2:9" x14ac:dyDescent="0.35">
      <c r="B23" s="11" t="s">
        <v>34</v>
      </c>
      <c r="C23" s="12">
        <f>INDEX(Data!$P$2:$P$6,MATCH($C$2,Data!$A$2:$A$6,0))</f>
        <v>8549200.2200000007</v>
      </c>
      <c r="D23" s="12">
        <f>INDEX(Data!$Y$2:$Y$6,MATCH($C$2,Data!$A$2:$A$6,0))</f>
        <v>40618457.539999999</v>
      </c>
      <c r="G23" s="11" t="s">
        <v>35</v>
      </c>
      <c r="H23" s="12">
        <f>INDEX(Data!$AS$2:$AS$6,MATCH($C$2,Data!$A$2:$A$6,0))</f>
        <v>10697195.68</v>
      </c>
    </row>
    <row r="24" spans="2:9" x14ac:dyDescent="0.35">
      <c r="B24" s="14" t="s">
        <v>36</v>
      </c>
      <c r="C24" s="15">
        <f>INDEX(Data!$Q$2:$Q$6,MATCH($C$2,Data!$A$2:$A$6,0))</f>
        <v>2059587.71</v>
      </c>
      <c r="D24" s="15">
        <f>INDEX(Data!$Z$2:$Z$6,MATCH($C$2,Data!$A$2:$A$6,0))</f>
        <v>5739325.0999999996</v>
      </c>
      <c r="G24" s="11" t="s">
        <v>37</v>
      </c>
      <c r="H24" s="12">
        <f>INDEX(Data!$AT$2:$AT$6,MATCH($C$2,Data!$A$2:$A$6,0))</f>
        <v>-2805575.34</v>
      </c>
    </row>
    <row r="25" spans="2:9" x14ac:dyDescent="0.35">
      <c r="B25" s="11" t="s">
        <v>38</v>
      </c>
      <c r="C25" s="12">
        <f>INDEX(Data!$S$2:$S$6,MATCH($C$2,Data!$A$2:$A$6,0))</f>
        <v>312095.86</v>
      </c>
      <c r="D25" s="12">
        <f>INDEX(Data!$AB$2:$AB$6,MATCH($C$2,Data!$A$2:$A$6,0))</f>
        <v>1587782.43</v>
      </c>
      <c r="G25" s="14" t="s">
        <v>39</v>
      </c>
      <c r="H25" s="15">
        <f>INDEX(Data!$AU$2:$AU$6,MATCH($C$2,Data!$A$2:$A$6,0))</f>
        <v>45258123.520000003</v>
      </c>
    </row>
    <row r="26" spans="2:9" x14ac:dyDescent="0.35">
      <c r="B26" s="11" t="s">
        <v>40</v>
      </c>
      <c r="C26" s="12">
        <f>INDEX(Data!$T$2:$T$6,MATCH($C$2,Data!$A$2:$A$6,0))</f>
        <v>1251113.01</v>
      </c>
      <c r="D26" s="12">
        <f>INDEX(Data!$AC$2:$AC$6,MATCH($C$2,Data!$A$2:$A$6,0))</f>
        <v>5033048.08</v>
      </c>
    </row>
    <row r="27" spans="2:9" x14ac:dyDescent="0.35">
      <c r="B27" s="14" t="s">
        <v>41</v>
      </c>
      <c r="C27" s="15">
        <f>INDEX(Data!$V$2:$V$6,MATCH($C$2,Data!$A$2:$A$6,0))</f>
        <v>1120570.56</v>
      </c>
      <c r="D27" s="15">
        <f>INDEX(Data!$AE$2:$AE$6,MATCH($C$2,Data!$A$2:$A$6,0))</f>
        <v>2294059.4500000002</v>
      </c>
      <c r="G27" s="5" t="s">
        <v>42</v>
      </c>
      <c r="H27" s="5"/>
      <c r="I27" s="5"/>
    </row>
    <row r="28" spans="2:9" x14ac:dyDescent="0.35">
      <c r="G28" s="10" t="s">
        <v>21</v>
      </c>
      <c r="H28" s="10" t="s">
        <v>43</v>
      </c>
      <c r="I28" s="10" t="s">
        <v>44</v>
      </c>
    </row>
    <row r="29" spans="2:9" x14ac:dyDescent="0.35">
      <c r="B29" s="5" t="s">
        <v>45</v>
      </c>
      <c r="C29" s="5"/>
      <c r="D29" s="5"/>
      <c r="G29" s="20" t="s">
        <v>24</v>
      </c>
      <c r="H29" s="21">
        <f>INDEX(Data!$BA$2:$BA$6,MATCH($C$2,Data!$A$2:$A$6,0))</f>
        <v>74815</v>
      </c>
      <c r="I29" s="23">
        <f>INDEX(Data!$BB$2:$BB$6,MATCH($C$2,Data!$A$2:$A$6,0))</f>
        <v>20452395</v>
      </c>
    </row>
    <row r="30" spans="2:9" x14ac:dyDescent="0.35">
      <c r="B30" s="10" t="s">
        <v>46</v>
      </c>
      <c r="C30" s="10" t="s">
        <v>43</v>
      </c>
      <c r="D30" s="10" t="s">
        <v>44</v>
      </c>
      <c r="G30" s="18" t="s">
        <v>23</v>
      </c>
      <c r="H30" s="19">
        <f>INDEX(Data!$BC$2:$BC$6,MATCH($C$2,Data!$A$2:$A$6,0))</f>
        <v>27800</v>
      </c>
      <c r="I30" s="24">
        <f>INDEX(Data!$BD$2:$BD$6,MATCH($C$2,Data!$A$2:$A$6,0))</f>
        <v>6446325</v>
      </c>
    </row>
    <row r="31" spans="2:9" x14ac:dyDescent="0.35">
      <c r="B31" s="11" t="str">
        <f>INDEX(Data!$BG$2:$BG$6,MATCH($C$2,Data!$A$2:$A$6,0))</f>
        <v>INS011 - INSPIRE RENTALS PTY LTD</v>
      </c>
      <c r="C31" s="25">
        <f>INDEX(Data!$BH$2:$BH$6,MATCH($C$2,Data!$A$2:$A$6,0))</f>
        <v>2208.39</v>
      </c>
      <c r="D31" s="13">
        <f>INDEX(Data!$BI$2:$BI$6,MATCH($C$2,Data!$A$2:$A$6,0))</f>
        <v>559116.25</v>
      </c>
      <c r="G31" s="16" t="s">
        <v>22</v>
      </c>
      <c r="H31" s="17">
        <f>INDEX(Data!$BE$2:$BE$6,MATCH($C$2,Data!$A$2:$A$6,0))</f>
        <v>3769</v>
      </c>
      <c r="I31" s="26">
        <f>INDEX(Data!$BF$2:$BF$6,MATCH($C$2,Data!$A$2:$A$6,0))</f>
        <v>943721</v>
      </c>
    </row>
    <row r="32" spans="2:9" x14ac:dyDescent="0.35">
      <c r="B32" s="11" t="str">
        <f>INDEX(Data!$BJ$2:$BJ$6,MATCH($C$2,Data!$A$2:$A$6,0))</f>
        <v>JUL003 - JULIANA DESIGNS (PTY) LTD</v>
      </c>
      <c r="C32" s="25">
        <f>INDEX(Data!$BK$2:$BK$6,MATCH($C$2,Data!$A$2:$A$6,0))</f>
        <v>1475.87</v>
      </c>
      <c r="D32" s="13">
        <f>INDEX(Data!$BL$2:$BL$6,MATCH($C$2,Data!$A$2:$A$6,0))</f>
        <v>392642.3</v>
      </c>
      <c r="G32" s="14" t="s">
        <v>47</v>
      </c>
      <c r="H32" s="27"/>
      <c r="I32" s="15">
        <f>INDEX(Data!$AZ$2:$AZ$6,MATCH($C$2,Data!$A$2:$A$6,0))</f>
        <v>27842441</v>
      </c>
    </row>
    <row r="33" spans="2:4" x14ac:dyDescent="0.35">
      <c r="B33" s="11" t="str">
        <f>INDEX(Data!$BM$2:$BM$6,MATCH($C$2,Data!$A$2:$A$6,0))</f>
        <v>ROW002 - ROWDY INTERNATIONAL (Pty) Ltd</v>
      </c>
      <c r="C33" s="25">
        <f>INDEX(Data!$BN$2:$BN$6,MATCH($C$2,Data!$A$2:$A$6,0))</f>
        <v>1217.25</v>
      </c>
      <c r="D33" s="13">
        <f>INDEX(Data!$BO$2:$BO$6,MATCH($C$2,Data!$A$2:$A$6,0))</f>
        <v>371512.05</v>
      </c>
    </row>
    <row r="34" spans="2:4" x14ac:dyDescent="0.35">
      <c r="B34" s="11" t="str">
        <f>INDEX(Data!$BP$2:$BP$6,MATCH($C$2,Data!$A$2:$A$6,0))</f>
        <v>INY011 - INYATHI LOUNGE (PTY) LTD</v>
      </c>
      <c r="C34" s="25">
        <f>INDEX(Data!$BQ$2:$BQ$6,MATCH($C$2,Data!$A$2:$A$6,0))</f>
        <v>910.15</v>
      </c>
      <c r="D34" s="13">
        <f>INDEX(Data!$BR$2:$BR$6,MATCH($C$2,Data!$A$2:$A$6,0))</f>
        <v>221123.55</v>
      </c>
    </row>
    <row r="35" spans="2:4" x14ac:dyDescent="0.35">
      <c r="B35" s="11" t="str">
        <f>INDEX(Data!$BS$2:$BS$6,MATCH($C$2,Data!$A$2:$A$6,0))</f>
        <v>LEA04 - LEATHER DIRECT (Pty) Ltd</v>
      </c>
      <c r="C35" s="25">
        <f>INDEX(Data!$BT$2:$BT$6,MATCH($C$2,Data!$A$2:$A$6,0))</f>
        <v>833.19</v>
      </c>
      <c r="D35" s="13">
        <f>INDEX(Data!$BU$2:$BU$6,MATCH($C$2,Data!$A$2:$A$6,0))</f>
        <v>208890.6</v>
      </c>
    </row>
    <row r="36" spans="2:4" x14ac:dyDescent="0.35">
      <c r="B36" s="11" t="str">
        <f>INDEX(Data!$BV$2:$BV$6,MATCH($C$2,Data!$A$2:$A$6,0))</f>
        <v>ALW002 - ALWAYS AROUND (PTY) LTD T/A BEESDAM</v>
      </c>
      <c r="C36" s="25">
        <f>INDEX(Data!$BW$2:$BW$6,MATCH($C$2,Data!$A$2:$A$6,0))</f>
        <v>823.34</v>
      </c>
      <c r="D36" s="13">
        <f>INDEX(Data!$BX$2:$BX$6,MATCH($C$2,Data!$A$2:$A$6,0))</f>
        <v>243596.6</v>
      </c>
    </row>
    <row r="37" spans="2:4" x14ac:dyDescent="0.35">
      <c r="B37" s="11" t="str">
        <f>INDEX(Data!$BY$2:$BY$6,MATCH($C$2,Data!$A$2:$A$6,0))</f>
        <v>BOO002 - BOOT &amp; RALLY (PTY) (LTD)</v>
      </c>
      <c r="C37" s="25">
        <f>INDEX(Data!$BZ$2:$BZ$6,MATCH($C$2,Data!$A$2:$A$6,0))</f>
        <v>797.37</v>
      </c>
      <c r="D37" s="13">
        <f>INDEX(Data!$CA$2:$CA$6,MATCH($C$2,Data!$A$2:$A$6,0))</f>
        <v>286136.34999999998</v>
      </c>
    </row>
    <row r="38" spans="2:4" x14ac:dyDescent="0.35">
      <c r="B38" s="11" t="str">
        <f>INDEX(Data!$CB$2:$CB$6,MATCH($C$2,Data!$A$2:$A$6,0))</f>
        <v>PAN001 - PANGA PANGA FURNITURE</v>
      </c>
      <c r="C38" s="25">
        <f>INDEX(Data!$CC$2:$CC$6,MATCH($C$2,Data!$A$2:$A$6,0))</f>
        <v>644.24</v>
      </c>
      <c r="D38" s="13">
        <f>INDEX(Data!$CD$2:$CD$6,MATCH($C$2,Data!$A$2:$A$6,0))</f>
        <v>144822.54999999999</v>
      </c>
    </row>
    <row r="39" spans="2:4" x14ac:dyDescent="0.35">
      <c r="B39" s="11" t="str">
        <f>INDEX(Data!$CE$2:$CE$6,MATCH($C$2,Data!$A$2:$A$6,0))</f>
        <v>MWI001 - MWIBA HOLDINGS LIMITED</v>
      </c>
      <c r="C39" s="25">
        <f>INDEX(Data!$CF$2:$CF$6,MATCH($C$2,Data!$A$2:$A$6,0))</f>
        <v>640.85</v>
      </c>
      <c r="D39" s="13">
        <f>INDEX(Data!$CG$2:$CG$6,MATCH($C$2,Data!$A$2:$A$6,0))</f>
        <v>236150.85</v>
      </c>
    </row>
    <row r="40" spans="2:4" x14ac:dyDescent="0.35">
      <c r="B40" s="11" t="str">
        <f>INDEX(Data!$CH$2:$CH$6,MATCH($C$2,Data!$A$2:$A$6,0))</f>
        <v>BUR001 - WH Burgundy Collective (Pty) Ltd</v>
      </c>
      <c r="C40" s="25">
        <f>INDEX(Data!$CI$2:$CI$6,MATCH($C$2,Data!$A$2:$A$6,0))</f>
        <v>525.51</v>
      </c>
      <c r="D40" s="13">
        <f>INDEX(Data!$CJ$2:$CJ$6,MATCH($C$2,Data!$A$2:$A$6,0))</f>
        <v>209596.35</v>
      </c>
    </row>
    <row r="41" spans="2:4" x14ac:dyDescent="0.35">
      <c r="B41" s="9" t="s">
        <v>48</v>
      </c>
      <c r="C41" s="28">
        <f>INDEX(Data!$AV$2:$AV$6,MATCH($C$2,Data!$A$2:$A$6,0))</f>
        <v>0.32274147812352999</v>
      </c>
      <c r="D41" s="29"/>
    </row>
    <row r="42" spans="2:4" x14ac:dyDescent="0.35">
      <c r="B42" s="11" t="s">
        <v>49</v>
      </c>
      <c r="C42" s="31" t="str">
        <f>INDEX(Data!$AX$2:$AX$6,MATCH($C$2,Data!$A$2:$A$6,0))</f>
        <v>6% of sales</v>
      </c>
      <c r="D42" s="13">
        <f>INDEX(Data!$AY$2:$AY$6,MATCH($C$2,Data!$A$2:$A$6,0))</f>
        <v>634599</v>
      </c>
    </row>
  </sheetData>
  <mergeCells count="17">
    <mergeCell ref="G27:I27"/>
    <mergeCell ref="B29:D29"/>
    <mergeCell ref="C11:D11"/>
    <mergeCell ref="B13:D13"/>
    <mergeCell ref="G13:H13"/>
    <mergeCell ref="B20:D20"/>
    <mergeCell ref="G20:H20"/>
    <mergeCell ref="C6:D6"/>
    <mergeCell ref="C7:D7"/>
    <mergeCell ref="C8:D8"/>
    <mergeCell ref="C9:D9"/>
    <mergeCell ref="C10:D10"/>
    <mergeCell ref="B1:M1"/>
    <mergeCell ref="C2:D2"/>
    <mergeCell ref="B4:D4"/>
    <mergeCell ref="G4:H4"/>
    <mergeCell ref="C5:D5"/>
  </mergeCells>
  <pageMargins left="0.74803149606299213" right="0.74803149606299213" top="0.98425196850393704" bottom="0.98425196850393704" header="0.51181102362204722" footer="0.51181102362204722"/>
  <pageSetup paperSize="9" scale="74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Choose a month from the list" prompt="Pick a month to view" xr:uid="{00000000-0002-0000-0000-000000000000}">
          <x14:formula1>
            <xm:f>Data!$A$2:$A$6</xm:f>
          </x14:formula1>
          <x14:formula2>
            <xm:f>0</xm:f>
          </x14:formula2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4" customWidth="1"/>
  </cols>
  <sheetData>
    <row r="1" spans="1:88" x14ac:dyDescent="0.35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 t="s">
        <v>74</v>
      </c>
      <c r="Z1" s="8" t="s">
        <v>75</v>
      </c>
      <c r="AA1" s="8" t="s">
        <v>76</v>
      </c>
      <c r="AB1" s="8" t="s">
        <v>77</v>
      </c>
      <c r="AC1" s="8" t="s">
        <v>78</v>
      </c>
      <c r="AD1" s="8" t="s">
        <v>79</v>
      </c>
      <c r="AE1" s="8" t="s">
        <v>80</v>
      </c>
      <c r="AF1" s="8" t="s">
        <v>81</v>
      </c>
      <c r="AG1" s="8" t="s">
        <v>82</v>
      </c>
      <c r="AH1" s="8" t="s">
        <v>83</v>
      </c>
      <c r="AI1" s="8" t="s">
        <v>84</v>
      </c>
      <c r="AJ1" s="8" t="s">
        <v>85</v>
      </c>
      <c r="AK1" s="8" t="s">
        <v>86</v>
      </c>
      <c r="AL1" s="8" t="s">
        <v>87</v>
      </c>
      <c r="AM1" s="8" t="s">
        <v>88</v>
      </c>
      <c r="AN1" s="8" t="s">
        <v>89</v>
      </c>
      <c r="AO1" s="8" t="s">
        <v>90</v>
      </c>
      <c r="AP1" s="8" t="s">
        <v>91</v>
      </c>
      <c r="AQ1" s="8" t="s">
        <v>92</v>
      </c>
      <c r="AR1" s="8" t="s">
        <v>93</v>
      </c>
      <c r="AS1" s="8" t="s">
        <v>94</v>
      </c>
      <c r="AT1" s="8" t="s">
        <v>95</v>
      </c>
      <c r="AU1" s="8" t="s">
        <v>96</v>
      </c>
      <c r="AV1" s="8" t="s">
        <v>97</v>
      </c>
      <c r="AW1" s="8" t="s">
        <v>98</v>
      </c>
      <c r="AX1" s="8" t="s">
        <v>99</v>
      </c>
      <c r="AY1" s="8" t="s">
        <v>100</v>
      </c>
      <c r="AZ1" s="8" t="s">
        <v>101</v>
      </c>
      <c r="BA1" s="8" t="s">
        <v>102</v>
      </c>
      <c r="BB1" s="8" t="s">
        <v>103</v>
      </c>
      <c r="BC1" s="8" t="s">
        <v>104</v>
      </c>
      <c r="BD1" s="8" t="s">
        <v>105</v>
      </c>
      <c r="BE1" s="8" t="s">
        <v>106</v>
      </c>
      <c r="BF1" s="8" t="s">
        <v>107</v>
      </c>
      <c r="BG1" s="8" t="s">
        <v>108</v>
      </c>
      <c r="BH1" s="8" t="s">
        <v>109</v>
      </c>
      <c r="BI1" s="8" t="s">
        <v>110</v>
      </c>
      <c r="BJ1" s="8" t="s">
        <v>111</v>
      </c>
      <c r="BK1" s="8" t="s">
        <v>112</v>
      </c>
      <c r="BL1" s="8" t="s">
        <v>113</v>
      </c>
      <c r="BM1" s="8" t="s">
        <v>114</v>
      </c>
      <c r="BN1" s="8" t="s">
        <v>115</v>
      </c>
      <c r="BO1" s="8" t="s">
        <v>116</v>
      </c>
      <c r="BP1" s="8" t="s">
        <v>117</v>
      </c>
      <c r="BQ1" s="8" t="s">
        <v>118</v>
      </c>
      <c r="BR1" s="8" t="s">
        <v>119</v>
      </c>
      <c r="BS1" s="8" t="s">
        <v>120</v>
      </c>
      <c r="BT1" s="8" t="s">
        <v>121</v>
      </c>
      <c r="BU1" s="8" t="s">
        <v>122</v>
      </c>
      <c r="BV1" s="8" t="s">
        <v>123</v>
      </c>
      <c r="BW1" s="8" t="s">
        <v>124</v>
      </c>
      <c r="BX1" s="8" t="s">
        <v>125</v>
      </c>
      <c r="BY1" s="8" t="s">
        <v>126</v>
      </c>
      <c r="BZ1" s="8" t="s">
        <v>127</v>
      </c>
      <c r="CA1" s="8" t="s">
        <v>128</v>
      </c>
      <c r="CB1" s="8" t="s">
        <v>129</v>
      </c>
      <c r="CC1" s="8" t="s">
        <v>130</v>
      </c>
      <c r="CD1" s="8" t="s">
        <v>131</v>
      </c>
      <c r="CE1" s="8" t="s">
        <v>132</v>
      </c>
      <c r="CF1" s="8" t="s">
        <v>133</v>
      </c>
      <c r="CG1" s="8" t="s">
        <v>134</v>
      </c>
      <c r="CH1" s="8" t="s">
        <v>135</v>
      </c>
      <c r="CI1" s="8" t="s">
        <v>136</v>
      </c>
      <c r="CJ1" s="8" t="s">
        <v>137</v>
      </c>
    </row>
    <row r="2" spans="1:88" x14ac:dyDescent="0.35">
      <c r="A2" t="s">
        <v>138</v>
      </c>
      <c r="B2">
        <v>8458767.1899999995</v>
      </c>
      <c r="C2">
        <v>337667.32</v>
      </c>
      <c r="D2">
        <v>8796434.5099999998</v>
      </c>
      <c r="E2">
        <v>24919.38</v>
      </c>
      <c r="F2">
        <v>8193921.2300000004</v>
      </c>
      <c r="G2">
        <v>328.817218967727</v>
      </c>
      <c r="H2">
        <v>28543.16</v>
      </c>
      <c r="I2">
        <v>6769998.4299999997</v>
      </c>
      <c r="J2">
        <v>237.18461550858399</v>
      </c>
      <c r="K2">
        <v>2544.3200000000002</v>
      </c>
      <c r="L2">
        <v>10150.709999999999</v>
      </c>
      <c r="M2">
        <v>12223.94</v>
      </c>
      <c r="N2">
        <v>24918.97</v>
      </c>
      <c r="O2">
        <v>8796434.5099999998</v>
      </c>
      <c r="P2">
        <v>7443520.5499999998</v>
      </c>
      <c r="Q2">
        <v>1352913.96</v>
      </c>
      <c r="R2">
        <v>0.153802538797052</v>
      </c>
      <c r="S2">
        <v>803916.31</v>
      </c>
      <c r="T2">
        <v>988310.05</v>
      </c>
      <c r="U2">
        <v>0.112353482411137</v>
      </c>
      <c r="V2">
        <v>1168520.22</v>
      </c>
      <c r="W2">
        <v>0.13284021141425001</v>
      </c>
      <c r="X2">
        <v>8796434.5099999998</v>
      </c>
      <c r="Y2">
        <v>7443520.5499999998</v>
      </c>
      <c r="Z2">
        <v>1352913.96</v>
      </c>
      <c r="AA2">
        <v>0.153802538797052</v>
      </c>
      <c r="AB2">
        <v>803916.31</v>
      </c>
      <c r="AC2">
        <v>988310.05</v>
      </c>
      <c r="AD2">
        <v>0.112353482411137</v>
      </c>
      <c r="AE2">
        <v>1168520.22</v>
      </c>
      <c r="AF2">
        <v>0.13284021141425001</v>
      </c>
      <c r="AG2">
        <v>5557631.2800000003</v>
      </c>
      <c r="AH2">
        <v>3589590.34</v>
      </c>
      <c r="AI2">
        <v>438208.68</v>
      </c>
      <c r="AJ2">
        <v>221228.3</v>
      </c>
      <c r="AK2">
        <v>365380.25</v>
      </c>
      <c r="AL2">
        <v>10172038.85</v>
      </c>
      <c r="AM2">
        <v>1397414.22</v>
      </c>
      <c r="AN2">
        <v>0</v>
      </c>
      <c r="AO2">
        <v>0</v>
      </c>
      <c r="AP2">
        <v>1397414.22</v>
      </c>
      <c r="AQ2">
        <v>25627566.390000001</v>
      </c>
      <c r="AR2">
        <v>10172038.85</v>
      </c>
      <c r="AS2">
        <v>7749290.6299999999</v>
      </c>
      <c r="AT2">
        <v>-1397414.22</v>
      </c>
      <c r="AU2">
        <v>42151481.649999999</v>
      </c>
      <c r="AV2">
        <v>0.31634254142759599</v>
      </c>
      <c r="AW2" t="s">
        <v>139</v>
      </c>
      <c r="AX2" t="s">
        <v>140</v>
      </c>
      <c r="AY2">
        <v>673563.19</v>
      </c>
      <c r="AZ2">
        <v>25627566.390000001</v>
      </c>
      <c r="BA2">
        <v>77489.399999999994</v>
      </c>
      <c r="BB2">
        <v>20196660</v>
      </c>
      <c r="BC2">
        <v>19734.400000000001</v>
      </c>
      <c r="BD2">
        <v>4657318.4000000004</v>
      </c>
      <c r="BE2">
        <v>3071.5</v>
      </c>
      <c r="BF2">
        <v>773587.99</v>
      </c>
      <c r="BG2" t="s">
        <v>141</v>
      </c>
      <c r="BH2">
        <v>1873.16</v>
      </c>
      <c r="BI2">
        <v>468704.8</v>
      </c>
      <c r="BJ2" t="s">
        <v>142</v>
      </c>
      <c r="BK2">
        <v>1296.1300000000001</v>
      </c>
      <c r="BL2">
        <v>452599.8</v>
      </c>
      <c r="BM2" t="s">
        <v>143</v>
      </c>
      <c r="BN2">
        <v>1198.22</v>
      </c>
      <c r="BO2">
        <v>317528.3</v>
      </c>
      <c r="BP2" t="s">
        <v>144</v>
      </c>
      <c r="BQ2">
        <v>747.45</v>
      </c>
      <c r="BR2">
        <v>313483.95</v>
      </c>
      <c r="BS2" t="s">
        <v>145</v>
      </c>
      <c r="BT2">
        <v>634.24</v>
      </c>
      <c r="BU2">
        <v>159416.4</v>
      </c>
      <c r="BV2" t="s">
        <v>146</v>
      </c>
      <c r="BW2">
        <v>490.61</v>
      </c>
      <c r="BX2">
        <v>142532.70000000001</v>
      </c>
      <c r="BY2" t="s">
        <v>147</v>
      </c>
      <c r="BZ2">
        <v>477.61</v>
      </c>
      <c r="CA2">
        <v>95044.39</v>
      </c>
      <c r="CB2" t="s">
        <v>148</v>
      </c>
      <c r="CC2">
        <v>408.13</v>
      </c>
      <c r="CD2">
        <v>160883.4</v>
      </c>
      <c r="CE2" t="s">
        <v>149</v>
      </c>
      <c r="CF2">
        <v>398</v>
      </c>
      <c r="CG2">
        <v>87816.8</v>
      </c>
      <c r="CH2" t="s">
        <v>150</v>
      </c>
      <c r="CI2">
        <v>359.51</v>
      </c>
      <c r="CJ2">
        <v>104547.7</v>
      </c>
    </row>
    <row r="3" spans="1:88" x14ac:dyDescent="0.35">
      <c r="A3" t="s">
        <v>151</v>
      </c>
      <c r="B3">
        <v>7877703.5599999996</v>
      </c>
      <c r="C3">
        <v>205941.51</v>
      </c>
      <c r="D3">
        <v>8083645.0700000003</v>
      </c>
      <c r="E3">
        <v>23573.9</v>
      </c>
      <c r="F3">
        <v>7643614.4499999797</v>
      </c>
      <c r="G3">
        <v>324.24055629318798</v>
      </c>
      <c r="H3">
        <v>25487.88</v>
      </c>
      <c r="I3">
        <v>6090483.7599999998</v>
      </c>
      <c r="J3">
        <v>238.95607480889001</v>
      </c>
      <c r="K3">
        <v>2416</v>
      </c>
      <c r="L3">
        <v>7996</v>
      </c>
      <c r="M3">
        <v>13162</v>
      </c>
      <c r="N3">
        <v>23574</v>
      </c>
      <c r="O3">
        <v>8083645.0700000003</v>
      </c>
      <c r="P3">
        <v>6732664.7400000002</v>
      </c>
      <c r="Q3">
        <v>1350980.33</v>
      </c>
      <c r="R3">
        <v>0.16712514197509201</v>
      </c>
      <c r="S3">
        <v>-26096.81</v>
      </c>
      <c r="T3">
        <v>921170.66</v>
      </c>
      <c r="U3">
        <v>0.11395486219683799</v>
      </c>
      <c r="V3">
        <v>403712.86</v>
      </c>
      <c r="W3">
        <v>4.9941932940408003E-2</v>
      </c>
      <c r="X3">
        <v>16879489.600000001</v>
      </c>
      <c r="Y3">
        <v>14211985.640000001</v>
      </c>
      <c r="Z3">
        <v>2667503.96</v>
      </c>
      <c r="AA3">
        <v>0.15803226419832</v>
      </c>
      <c r="AB3">
        <v>777819.5</v>
      </c>
      <c r="AC3">
        <v>1895806.45</v>
      </c>
      <c r="AD3">
        <v>0.11231420469017001</v>
      </c>
      <c r="AE3">
        <v>1549517.01</v>
      </c>
      <c r="AF3">
        <v>9.1798807115589603E-2</v>
      </c>
      <c r="AG3">
        <v>4845365.1500000004</v>
      </c>
      <c r="AH3">
        <v>3543134.25</v>
      </c>
      <c r="AI3">
        <v>1437599.43</v>
      </c>
      <c r="AJ3">
        <v>133280.39000000001</v>
      </c>
      <c r="AK3">
        <v>362173.82</v>
      </c>
      <c r="AL3">
        <v>10321553.039999999</v>
      </c>
      <c r="AM3">
        <v>2783687.17</v>
      </c>
      <c r="AN3">
        <v>-551064.84</v>
      </c>
      <c r="AO3">
        <v>0</v>
      </c>
      <c r="AP3">
        <v>2232622.33</v>
      </c>
      <c r="AQ3">
        <v>25469457.781992398</v>
      </c>
      <c r="AR3">
        <v>10321553.039999999</v>
      </c>
      <c r="AS3">
        <v>8716363.2100000009</v>
      </c>
      <c r="AT3">
        <v>-2232622.33</v>
      </c>
      <c r="AU3">
        <v>42274751.7019924</v>
      </c>
      <c r="AV3">
        <v>0.268832055790514</v>
      </c>
      <c r="AW3" t="s">
        <v>152</v>
      </c>
      <c r="AX3" t="s">
        <v>153</v>
      </c>
      <c r="AY3">
        <v>491161.49</v>
      </c>
      <c r="AZ3">
        <v>25469457.781992398</v>
      </c>
      <c r="BA3">
        <v>75839</v>
      </c>
      <c r="BB3">
        <v>19329328.59</v>
      </c>
      <c r="BC3">
        <v>18843</v>
      </c>
      <c r="BD3">
        <v>4446948</v>
      </c>
      <c r="BE3">
        <v>4212.79</v>
      </c>
      <c r="BF3">
        <v>1023706.86</v>
      </c>
      <c r="BG3" t="s">
        <v>143</v>
      </c>
      <c r="BH3">
        <v>992.23</v>
      </c>
      <c r="BI3">
        <v>262506.59999999998</v>
      </c>
      <c r="BJ3" t="s">
        <v>146</v>
      </c>
      <c r="BK3">
        <v>967.88</v>
      </c>
      <c r="BL3">
        <v>267872.34999999998</v>
      </c>
      <c r="BM3" t="s">
        <v>141</v>
      </c>
      <c r="BN3">
        <v>798.01</v>
      </c>
      <c r="BO3">
        <v>192374.3</v>
      </c>
      <c r="BP3" t="s">
        <v>154</v>
      </c>
      <c r="BQ3">
        <v>662.14</v>
      </c>
      <c r="BR3">
        <v>225145.35</v>
      </c>
      <c r="BS3" t="s">
        <v>155</v>
      </c>
      <c r="BT3">
        <v>618.59</v>
      </c>
      <c r="BU3">
        <v>191141.75</v>
      </c>
      <c r="BV3" t="s">
        <v>156</v>
      </c>
      <c r="BW3">
        <v>522.95000000000005</v>
      </c>
      <c r="BX3">
        <v>200319.1</v>
      </c>
      <c r="BY3" t="s">
        <v>145</v>
      </c>
      <c r="BZ3">
        <v>462.17</v>
      </c>
      <c r="CA3">
        <v>115744.2</v>
      </c>
      <c r="CB3" t="s">
        <v>157</v>
      </c>
      <c r="CC3">
        <v>454.67</v>
      </c>
      <c r="CD3">
        <v>118315.95</v>
      </c>
      <c r="CE3" t="s">
        <v>158</v>
      </c>
      <c r="CF3">
        <v>453.68</v>
      </c>
      <c r="CG3">
        <v>190664.55</v>
      </c>
      <c r="CH3" t="s">
        <v>159</v>
      </c>
      <c r="CI3">
        <v>405.1</v>
      </c>
      <c r="CJ3">
        <v>121578.45</v>
      </c>
    </row>
    <row r="4" spans="1:88" x14ac:dyDescent="0.35">
      <c r="A4" t="s">
        <v>160</v>
      </c>
      <c r="B4">
        <v>9194406.4600000009</v>
      </c>
      <c r="C4">
        <v>134522.42000000001</v>
      </c>
      <c r="D4">
        <v>9328928.8800000008</v>
      </c>
      <c r="E4">
        <v>26938.21</v>
      </c>
      <c r="F4">
        <v>8709915.0800000001</v>
      </c>
      <c r="G4">
        <v>323.32939271020598</v>
      </c>
      <c r="H4">
        <v>29686.34</v>
      </c>
      <c r="I4">
        <v>7174856.5199999996</v>
      </c>
      <c r="J4">
        <v>241.68882118846599</v>
      </c>
      <c r="K4">
        <v>2702</v>
      </c>
      <c r="L4">
        <v>9663</v>
      </c>
      <c r="M4">
        <v>14573</v>
      </c>
      <c r="N4">
        <v>26938</v>
      </c>
      <c r="O4">
        <v>9328928.8800000008</v>
      </c>
      <c r="P4">
        <v>7958547.2199999997</v>
      </c>
      <c r="Q4">
        <v>1370381.66</v>
      </c>
      <c r="R4">
        <v>0.14689592745614299</v>
      </c>
      <c r="S4">
        <v>280166.36</v>
      </c>
      <c r="T4">
        <v>953750.41</v>
      </c>
      <c r="U4">
        <v>0.10223578958188</v>
      </c>
      <c r="V4">
        <v>696797.61</v>
      </c>
      <c r="W4">
        <v>7.4692134430764404E-2</v>
      </c>
      <c r="X4">
        <v>26210086.030000001</v>
      </c>
      <c r="Y4">
        <v>22855532.859999999</v>
      </c>
      <c r="Z4">
        <v>3354553.17</v>
      </c>
      <c r="AA4">
        <v>0.12798711023536499</v>
      </c>
      <c r="AB4">
        <v>878329.36</v>
      </c>
      <c r="AC4">
        <v>2860231.9</v>
      </c>
      <c r="AD4">
        <v>0.109127146577321</v>
      </c>
      <c r="AE4">
        <v>1372650.63</v>
      </c>
      <c r="AF4">
        <v>5.2371084491247701E-2</v>
      </c>
      <c r="AG4">
        <v>5628561.9100000001</v>
      </c>
      <c r="AH4">
        <v>2778610.7</v>
      </c>
      <c r="AI4">
        <v>1093086.78</v>
      </c>
      <c r="AJ4">
        <v>276517.89</v>
      </c>
      <c r="AK4">
        <v>200499.67</v>
      </c>
      <c r="AL4">
        <v>9977276.9499999993</v>
      </c>
      <c r="AM4">
        <v>2599600.0499999998</v>
      </c>
      <c r="AN4">
        <v>0</v>
      </c>
      <c r="AO4">
        <v>0</v>
      </c>
      <c r="AP4">
        <v>2599600.0499999998</v>
      </c>
      <c r="AQ4">
        <v>26440667.421992399</v>
      </c>
      <c r="AR4">
        <v>9977276.9499999993</v>
      </c>
      <c r="AS4">
        <v>9221404.6300000008</v>
      </c>
      <c r="AT4">
        <v>-2599600.0499999998</v>
      </c>
      <c r="AU4">
        <v>43039748.9519924</v>
      </c>
      <c r="AV4">
        <v>0.34438331277393702</v>
      </c>
      <c r="AW4" t="s">
        <v>161</v>
      </c>
      <c r="AX4" t="s">
        <v>162</v>
      </c>
      <c r="AY4">
        <v>482483</v>
      </c>
      <c r="AZ4">
        <v>26440667.421992399</v>
      </c>
      <c r="BA4">
        <v>78247</v>
      </c>
      <c r="BB4">
        <v>20527322</v>
      </c>
      <c r="BC4">
        <v>16859</v>
      </c>
      <c r="BD4">
        <v>3704287</v>
      </c>
      <c r="BE4">
        <v>4205</v>
      </c>
      <c r="BF4">
        <v>999564.09</v>
      </c>
      <c r="BG4" t="s">
        <v>141</v>
      </c>
      <c r="BH4">
        <v>2096.73</v>
      </c>
      <c r="BI4">
        <v>507783.65</v>
      </c>
      <c r="BJ4" t="s">
        <v>143</v>
      </c>
      <c r="BK4">
        <v>1132.23</v>
      </c>
      <c r="BL4">
        <v>300040.95</v>
      </c>
      <c r="BM4" t="s">
        <v>146</v>
      </c>
      <c r="BN4">
        <v>1078.98</v>
      </c>
      <c r="BO4">
        <v>308631.8</v>
      </c>
      <c r="BP4" t="s">
        <v>142</v>
      </c>
      <c r="BQ4">
        <v>967.14</v>
      </c>
      <c r="BR4">
        <v>336584.75</v>
      </c>
      <c r="BS4" t="s">
        <v>145</v>
      </c>
      <c r="BT4">
        <v>816.29</v>
      </c>
      <c r="BU4">
        <v>207347.1</v>
      </c>
      <c r="BV4" t="s">
        <v>149</v>
      </c>
      <c r="BW4">
        <v>787.87</v>
      </c>
      <c r="BX4">
        <v>183644.35</v>
      </c>
      <c r="BY4" t="s">
        <v>157</v>
      </c>
      <c r="BZ4">
        <v>683.91</v>
      </c>
      <c r="CA4">
        <v>174273.1</v>
      </c>
      <c r="CB4" t="s">
        <v>155</v>
      </c>
      <c r="CC4">
        <v>629.04</v>
      </c>
      <c r="CD4">
        <v>190119.2</v>
      </c>
      <c r="CE4" t="s">
        <v>163</v>
      </c>
      <c r="CF4">
        <v>574.4</v>
      </c>
      <c r="CG4">
        <v>211188.95</v>
      </c>
      <c r="CH4" t="s">
        <v>156</v>
      </c>
      <c r="CI4">
        <v>510.48</v>
      </c>
      <c r="CJ4">
        <v>211266.6</v>
      </c>
    </row>
    <row r="5" spans="1:88" x14ac:dyDescent="0.35">
      <c r="A5" t="s">
        <v>164</v>
      </c>
      <c r="B5">
        <v>8846029.8900000006</v>
      </c>
      <c r="C5">
        <v>759904.9</v>
      </c>
      <c r="D5">
        <v>9605934.7899999991</v>
      </c>
      <c r="E5">
        <v>28111.71</v>
      </c>
      <c r="F5">
        <v>9157383.5800000001</v>
      </c>
      <c r="G5">
        <v>325.74978825549903</v>
      </c>
      <c r="H5">
        <v>34761.64</v>
      </c>
      <c r="I5">
        <v>8319791.96</v>
      </c>
      <c r="J5">
        <v>239.33830394653401</v>
      </c>
      <c r="K5">
        <v>2362</v>
      </c>
      <c r="L5">
        <v>9987</v>
      </c>
      <c r="M5">
        <v>15762</v>
      </c>
      <c r="N5">
        <v>28111</v>
      </c>
      <c r="O5">
        <v>9592256.4900000002</v>
      </c>
      <c r="P5">
        <v>9049304.0399999991</v>
      </c>
      <c r="Q5">
        <v>542952.450000001</v>
      </c>
      <c r="R5">
        <v>5.6603203903693902E-2</v>
      </c>
      <c r="S5">
        <v>397357.21</v>
      </c>
      <c r="T5">
        <v>952854.61</v>
      </c>
      <c r="U5">
        <v>9.9335814361652897E-2</v>
      </c>
      <c r="V5">
        <v>-12544.9499999989</v>
      </c>
      <c r="W5">
        <v>-1.30782053347688E-3</v>
      </c>
      <c r="X5">
        <v>35799257.82</v>
      </c>
      <c r="Y5">
        <v>32069257.32</v>
      </c>
      <c r="Z5">
        <v>3730000.5</v>
      </c>
      <c r="AA5">
        <v>0.104192118137046</v>
      </c>
      <c r="AB5">
        <v>1275686.57</v>
      </c>
      <c r="AC5">
        <v>3831402.19</v>
      </c>
      <c r="AD5">
        <v>0.10702462629992</v>
      </c>
      <c r="AE5">
        <v>1174284.8799999999</v>
      </c>
      <c r="AF5">
        <v>3.28019336575174E-2</v>
      </c>
      <c r="AG5">
        <v>5750509.4800000004</v>
      </c>
      <c r="AH5">
        <v>2659650.17</v>
      </c>
      <c r="AI5">
        <v>339704.74</v>
      </c>
      <c r="AJ5">
        <v>517460.73</v>
      </c>
      <c r="AK5">
        <v>233005.84</v>
      </c>
      <c r="AL5">
        <v>9500330.9600000009</v>
      </c>
      <c r="AM5">
        <v>3246489.66</v>
      </c>
      <c r="AN5">
        <v>0</v>
      </c>
      <c r="AO5">
        <v>0</v>
      </c>
      <c r="AP5">
        <v>3246489.66</v>
      </c>
      <c r="AQ5">
        <v>28252761.877999499</v>
      </c>
      <c r="AR5">
        <v>9500330.9600000009</v>
      </c>
      <c r="AS5">
        <v>9644303</v>
      </c>
      <c r="AT5">
        <v>-3246489.66</v>
      </c>
      <c r="AU5">
        <v>44150906.177999496</v>
      </c>
      <c r="AV5">
        <v>0.33602829568176401</v>
      </c>
      <c r="AW5" t="s">
        <v>165</v>
      </c>
      <c r="AX5" t="s">
        <v>162</v>
      </c>
      <c r="AY5">
        <v>512349.12</v>
      </c>
      <c r="AZ5">
        <v>28252761.877999499</v>
      </c>
      <c r="BA5">
        <v>72417</v>
      </c>
      <c r="BB5">
        <v>20103816</v>
      </c>
      <c r="BC5">
        <v>26594</v>
      </c>
      <c r="BD5">
        <v>6028419</v>
      </c>
      <c r="BE5">
        <v>3891.47</v>
      </c>
      <c r="BF5">
        <v>999058.3</v>
      </c>
      <c r="BG5" t="s">
        <v>166</v>
      </c>
      <c r="BH5">
        <v>1648.56</v>
      </c>
      <c r="BI5">
        <v>400521.1</v>
      </c>
      <c r="BJ5" t="s">
        <v>167</v>
      </c>
      <c r="BK5">
        <v>1464.08</v>
      </c>
      <c r="BL5">
        <v>677878.46</v>
      </c>
      <c r="BM5" t="s">
        <v>168</v>
      </c>
      <c r="BN5">
        <v>1244.83</v>
      </c>
      <c r="BO5">
        <v>329879.95</v>
      </c>
      <c r="BP5" t="s">
        <v>169</v>
      </c>
      <c r="BQ5">
        <v>856.94</v>
      </c>
      <c r="BR5">
        <v>213084.55</v>
      </c>
      <c r="BS5" t="s">
        <v>170</v>
      </c>
      <c r="BT5">
        <v>834.04</v>
      </c>
      <c r="BU5">
        <v>202000.95</v>
      </c>
      <c r="BV5" t="s">
        <v>171</v>
      </c>
      <c r="BW5">
        <v>787.17</v>
      </c>
      <c r="BX5">
        <v>221597.55</v>
      </c>
      <c r="BY5" t="s">
        <v>172</v>
      </c>
      <c r="BZ5">
        <v>722.42</v>
      </c>
      <c r="CA5">
        <v>181422</v>
      </c>
      <c r="CB5" t="s">
        <v>173</v>
      </c>
      <c r="CC5">
        <v>707.48</v>
      </c>
      <c r="CD5">
        <v>215960.95</v>
      </c>
      <c r="CE5" t="s">
        <v>174</v>
      </c>
      <c r="CF5">
        <v>597.6</v>
      </c>
      <c r="CG5">
        <v>148022.79999999999</v>
      </c>
      <c r="CH5" t="s">
        <v>175</v>
      </c>
      <c r="CI5">
        <v>583.21</v>
      </c>
      <c r="CJ5">
        <v>232642.6</v>
      </c>
    </row>
    <row r="6" spans="1:88" x14ac:dyDescent="0.35">
      <c r="A6" t="s">
        <v>1</v>
      </c>
      <c r="B6">
        <v>9999139.1600000001</v>
      </c>
      <c r="C6">
        <v>609648.77</v>
      </c>
      <c r="D6">
        <v>10608787.93</v>
      </c>
      <c r="E6">
        <v>31220.53</v>
      </c>
      <c r="F6">
        <v>10140593.449999999</v>
      </c>
      <c r="G6">
        <v>324.80529478519401</v>
      </c>
      <c r="H6">
        <v>32522.46</v>
      </c>
      <c r="I6">
        <v>8221327.4000000004</v>
      </c>
      <c r="J6">
        <v>252.78922320144301</v>
      </c>
      <c r="K6">
        <v>2265.5500000000002</v>
      </c>
      <c r="L6">
        <v>11718.75</v>
      </c>
      <c r="M6">
        <v>17236.23</v>
      </c>
      <c r="N6">
        <v>31220.53</v>
      </c>
      <c r="O6">
        <v>10608787.93</v>
      </c>
      <c r="P6">
        <v>8549200.2200000007</v>
      </c>
      <c r="Q6">
        <v>2059587.71</v>
      </c>
      <c r="R6">
        <v>0.19413977577738201</v>
      </c>
      <c r="S6">
        <v>312095.86</v>
      </c>
      <c r="T6">
        <v>1251113.01</v>
      </c>
      <c r="U6">
        <v>0.117931757921378</v>
      </c>
      <c r="V6">
        <v>1120570.56</v>
      </c>
      <c r="W6">
        <v>0.105626634012657</v>
      </c>
      <c r="X6">
        <v>46357782.640000001</v>
      </c>
      <c r="Y6">
        <v>40618457.539999999</v>
      </c>
      <c r="Z6">
        <v>5739325.0999999996</v>
      </c>
      <c r="AA6">
        <v>0.123804996122653</v>
      </c>
      <c r="AB6">
        <v>1587782.43</v>
      </c>
      <c r="AC6">
        <v>5033048.08</v>
      </c>
      <c r="AD6">
        <v>0.10856964663485</v>
      </c>
      <c r="AE6">
        <v>2294059.4500000002</v>
      </c>
      <c r="AF6">
        <v>4.9485961565826998E-2</v>
      </c>
      <c r="AG6">
        <v>6314630.25</v>
      </c>
      <c r="AH6">
        <v>2175977.65</v>
      </c>
      <c r="AI6">
        <v>554894.18000000005</v>
      </c>
      <c r="AJ6">
        <v>126006.73</v>
      </c>
      <c r="AK6">
        <v>352553.37</v>
      </c>
      <c r="AL6">
        <v>9524062.1799999997</v>
      </c>
      <c r="AM6">
        <v>2805575.34</v>
      </c>
      <c r="AN6">
        <v>0</v>
      </c>
      <c r="AO6">
        <v>0</v>
      </c>
      <c r="AP6">
        <v>2805575.34</v>
      </c>
      <c r="AQ6">
        <v>27842441</v>
      </c>
      <c r="AR6">
        <v>9524062.1799999997</v>
      </c>
      <c r="AS6">
        <v>10697195.68</v>
      </c>
      <c r="AT6">
        <v>-2805575.34</v>
      </c>
      <c r="AU6">
        <v>45258123.520000003</v>
      </c>
      <c r="AV6">
        <v>0.32274147812352999</v>
      </c>
      <c r="AW6" t="s">
        <v>176</v>
      </c>
      <c r="AX6" t="s">
        <v>153</v>
      </c>
      <c r="AY6">
        <v>634599</v>
      </c>
      <c r="AZ6">
        <v>27842441</v>
      </c>
      <c r="BA6">
        <v>74815</v>
      </c>
      <c r="BB6">
        <v>20452395</v>
      </c>
      <c r="BC6">
        <v>27800</v>
      </c>
      <c r="BD6">
        <v>6446325</v>
      </c>
      <c r="BE6">
        <v>3769</v>
      </c>
      <c r="BF6">
        <v>943721</v>
      </c>
      <c r="BG6" t="s">
        <v>141</v>
      </c>
      <c r="BH6">
        <v>2208.39</v>
      </c>
      <c r="BI6">
        <v>559116.25</v>
      </c>
      <c r="BJ6" t="s">
        <v>143</v>
      </c>
      <c r="BK6">
        <v>1475.87</v>
      </c>
      <c r="BL6">
        <v>392642.3</v>
      </c>
      <c r="BM6" t="s">
        <v>155</v>
      </c>
      <c r="BN6">
        <v>1217.25</v>
      </c>
      <c r="BO6">
        <v>371512.05</v>
      </c>
      <c r="BP6" t="s">
        <v>157</v>
      </c>
      <c r="BQ6">
        <v>910.15</v>
      </c>
      <c r="BR6">
        <v>221123.55</v>
      </c>
      <c r="BS6" t="s">
        <v>145</v>
      </c>
      <c r="BT6">
        <v>833.19</v>
      </c>
      <c r="BU6">
        <v>208890.6</v>
      </c>
      <c r="BV6" t="s">
        <v>146</v>
      </c>
      <c r="BW6">
        <v>823.34</v>
      </c>
      <c r="BX6">
        <v>243596.6</v>
      </c>
      <c r="BY6" t="s">
        <v>142</v>
      </c>
      <c r="BZ6">
        <v>797.37</v>
      </c>
      <c r="CA6">
        <v>286136.34999999998</v>
      </c>
      <c r="CB6" t="s">
        <v>177</v>
      </c>
      <c r="CC6">
        <v>644.24</v>
      </c>
      <c r="CD6">
        <v>144822.54999999999</v>
      </c>
      <c r="CE6" t="s">
        <v>178</v>
      </c>
      <c r="CF6">
        <v>640.85</v>
      </c>
      <c r="CG6">
        <v>236150.85</v>
      </c>
      <c r="CH6" t="s">
        <v>158</v>
      </c>
      <c r="CI6">
        <v>525.51</v>
      </c>
      <c r="CJ6">
        <v>209596.35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Sannette Potgieter</cp:lastModifiedBy>
  <cp:revision>0</cp:revision>
  <cp:lastPrinted>2026-08-04T13:19:11Z</cp:lastPrinted>
  <dcterms:created xsi:type="dcterms:W3CDTF">2026-08-04T12:41:14Z</dcterms:created>
  <dcterms:modified xsi:type="dcterms:W3CDTF">2026-08-04T13:19:48Z</dcterms:modified>
  <dc:language>en-US</dc:language>
</cp:coreProperties>
</file>